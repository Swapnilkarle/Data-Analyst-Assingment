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esktop\Data Anlaytics Assingments\Excel Assignment\"/>
    </mc:Choice>
  </mc:AlternateContent>
  <xr:revisionPtr revIDLastSave="0" documentId="13_ncr:1_{C23CDC62-9272-45C9-8C71-B26FCD41C9C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Charts1" sheetId="1" r:id="rId1"/>
    <sheet name="Sheet2" sheetId="5" r:id="rId2"/>
    <sheet name="Charts2" sheetId="2" r:id="rId3"/>
    <sheet name="Sheet3" sheetId="6" r:id="rId4"/>
  </sheet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0oS+2/xsXl+urb1iAtYAU7e030EzJXiXg1fLrdYjMe4="/>
    </ext>
  </extLst>
</workbook>
</file>

<file path=xl/calcChain.xml><?xml version="1.0" encoding="utf-8"?>
<calcChain xmlns="http://schemas.openxmlformats.org/spreadsheetml/2006/main">
  <c r="D25" i="2" l="1"/>
  <c r="F23" i="2"/>
  <c r="E23" i="2"/>
  <c r="F22" i="2"/>
  <c r="E22" i="2"/>
  <c r="F21" i="2"/>
  <c r="E21" i="2"/>
  <c r="E20" i="2"/>
  <c r="F20" i="2" s="1"/>
  <c r="F19" i="2"/>
  <c r="E19" i="2"/>
  <c r="E18" i="2"/>
  <c r="F18" i="2" s="1"/>
  <c r="F17" i="2"/>
  <c r="E17" i="2"/>
  <c r="E16" i="2"/>
  <c r="F16" i="2" s="1"/>
  <c r="F15" i="2"/>
  <c r="E15" i="2"/>
  <c r="E14" i="2"/>
  <c r="F14" i="2" s="1"/>
  <c r="F13" i="2"/>
  <c r="E13" i="2"/>
  <c r="E12" i="2"/>
  <c r="F12" i="2" s="1"/>
  <c r="F11" i="2"/>
  <c r="E11" i="2"/>
  <c r="E10" i="2"/>
  <c r="F10" i="2" s="1"/>
  <c r="F9" i="2"/>
  <c r="E9" i="2"/>
  <c r="E8" i="2"/>
  <c r="F8" i="2" s="1"/>
  <c r="F7" i="2"/>
  <c r="E7" i="2"/>
</calcChain>
</file>

<file path=xl/sharedStrings.xml><?xml version="1.0" encoding="utf-8"?>
<sst xmlns="http://schemas.openxmlformats.org/spreadsheetml/2006/main" count="16" uniqueCount="11">
  <si>
    <t>Create Line Chart with Proper formatting</t>
  </si>
  <si>
    <t>Should be formatted as shown in picture</t>
  </si>
  <si>
    <t>Date</t>
  </si>
  <si>
    <t>Revenue'000</t>
  </si>
  <si>
    <t>Create Combo Chart with Proper formatting</t>
  </si>
  <si>
    <t>Running Total</t>
  </si>
  <si>
    <t>%</t>
  </si>
  <si>
    <t>Total</t>
  </si>
  <si>
    <t>Sum of Revenue'000</t>
  </si>
  <si>
    <t>Row Labels</t>
  </si>
  <si>
    <t>Sum of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</si>
</sst>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₹&quot;\ #,##0;[Red]&quot;₹&quot;\ \-#,##0"/>
    <numFmt numFmtId="164" formatCode="&quot;$&quot;#,##0_);[Red]\(&quot;$&quot;#,##0\)"/>
    <numFmt numFmtId="165" formatCode="&quot;₹&quot;\ #,##0.00"/>
    <numFmt numFmtId="166" formatCode="[$$-409]#,##0.00"/>
  </numFmts>
  <fonts count="5" x14ac:knownFonts="1">
    <font>
      <sz val="11"/>
      <color theme="1"/>
      <name val="Calibri"/>
      <scheme val="minor"/>
    </font>
    <font>
      <b/>
      <sz val="11"/>
      <color rgb="FFFF0000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6" fontId="3" fillId="0" borderId="3" xfId="0" applyNumberFormat="1" applyFont="1" applyBorder="1"/>
    <xf numFmtId="0" fontId="3" fillId="0" borderId="4" xfId="0" applyFont="1" applyBorder="1"/>
    <xf numFmtId="6" fontId="3" fillId="0" borderId="1" xfId="0" applyNumberFormat="1" applyFont="1" applyBorder="1"/>
    <xf numFmtId="0" fontId="4" fillId="2" borderId="5" xfId="0" applyFont="1" applyFill="1" applyBorder="1"/>
    <xf numFmtId="0" fontId="4" fillId="2" borderId="6" xfId="0" applyFont="1" applyFill="1" applyBorder="1"/>
    <xf numFmtId="0" fontId="4" fillId="2" borderId="1" xfId="0" applyFont="1" applyFill="1" applyBorder="1"/>
    <xf numFmtId="164" fontId="3" fillId="0" borderId="3" xfId="0" applyNumberFormat="1" applyFont="1" applyBorder="1"/>
    <xf numFmtId="9" fontId="3" fillId="0" borderId="1" xfId="0" applyNumberFormat="1" applyFont="1" applyBorder="1"/>
    <xf numFmtId="0" fontId="3" fillId="0" borderId="1" xfId="0" applyFont="1" applyBorder="1"/>
    <xf numFmtId="4" fontId="3" fillId="0" borderId="1" xfId="0" applyNumberFormat="1" applyFont="1" applyBorder="1"/>
    <xf numFmtId="164" fontId="3" fillId="0" borderId="1" xfId="0" applyNumberFormat="1" applyFont="1" applyBorder="1"/>
    <xf numFmtId="0" fontId="3" fillId="0" borderId="0" xfId="0" applyFont="1"/>
    <xf numFmtId="164" fontId="3" fillId="0" borderId="0" xfId="0" applyNumberFormat="1" applyFo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165" fontId="0" fillId="0" borderId="0" xfId="0" applyNumberFormat="1" applyFont="1" applyAlignment="1"/>
    <xf numFmtId="166" fontId="0" fillId="0" borderId="0" xfId="0" applyNumberFormat="1" applyFont="1" applyAlignment="1"/>
    <xf numFmtId="10" fontId="0" fillId="0" borderId="0" xfId="0" applyNumberFormat="1" applyFont="1" applyAlignment="1"/>
  </cellXfs>
  <cellStyles count="1">
    <cellStyle name="Normal" xfId="0" builtinId="0"/>
  </cellStyles>
  <dxfs count="3">
    <dxf>
      <numFmt numFmtId="14" formatCode="0.00%"/>
    </dxf>
    <dxf>
      <numFmt numFmtId="166" formatCode="[$$-409]#,##0.00"/>
    </dxf>
    <dxf>
      <numFmt numFmtId="13" formatCode="0%"/>
    </dxf>
  </dxfs>
  <tableStyles count="0" defaultTableStyle="TableStyleMedium2" defaultPivotStyle="PivotStyleLight16"/>
  <colors>
    <mruColors>
      <color rgb="FF0F97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[Q6. Charts.xlsx]Sheet2!PivotTable2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F9733"/>
                </a:solidFill>
              </a:rPr>
              <a:t>Revenue'000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sq">
            <a:solidFill>
              <a:srgbClr val="7030A0"/>
            </a:solidFill>
            <a:miter lim="800000"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sq">
              <a:solidFill>
                <a:srgbClr val="7030A0"/>
              </a:solidFill>
              <a:miter lim="800000"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Sheet2!$A$4:$A$18</c:f>
              <c:strCache>
                <c:ptCount val="1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</c:strCache>
            </c:strRef>
          </c:cat>
          <c:val>
            <c:numRef>
              <c:f>Sheet2!$B$4:$B$18</c:f>
              <c:numCache>
                <c:formatCode>"₹"\ #,##0.00</c:formatCode>
                <c:ptCount val="15"/>
                <c:pt idx="0">
                  <c:v>2156</c:v>
                </c:pt>
                <c:pt idx="1">
                  <c:v>3562</c:v>
                </c:pt>
                <c:pt idx="2">
                  <c:v>7506</c:v>
                </c:pt>
                <c:pt idx="3">
                  <c:v>6258</c:v>
                </c:pt>
                <c:pt idx="4">
                  <c:v>6279</c:v>
                </c:pt>
                <c:pt idx="5">
                  <c:v>1963</c:v>
                </c:pt>
                <c:pt idx="6">
                  <c:v>6736</c:v>
                </c:pt>
                <c:pt idx="7">
                  <c:v>3280</c:v>
                </c:pt>
                <c:pt idx="8">
                  <c:v>8398</c:v>
                </c:pt>
                <c:pt idx="9">
                  <c:v>2882</c:v>
                </c:pt>
                <c:pt idx="10">
                  <c:v>4686</c:v>
                </c:pt>
                <c:pt idx="11">
                  <c:v>6976</c:v>
                </c:pt>
                <c:pt idx="12">
                  <c:v>2173</c:v>
                </c:pt>
                <c:pt idx="13">
                  <c:v>2166</c:v>
                </c:pt>
                <c:pt idx="14">
                  <c:v>8418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31-45DA-9BFC-863051105C9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1444916223"/>
        <c:axId val="1447641775"/>
      </c:lineChart>
      <c:catAx>
        <c:axId val="1444916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641775"/>
        <c:crosses val="autoZero"/>
        <c:auto val="1"/>
        <c:lblAlgn val="ctr"/>
        <c:lblOffset val="100"/>
        <c:noMultiLvlLbl val="0"/>
      </c:catAx>
      <c:valAx>
        <c:axId val="1447641775"/>
        <c:scaling>
          <c:orientation val="minMax"/>
        </c:scaling>
        <c:delete val="0"/>
        <c:axPos val="l"/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916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3"/>
      <a:tile tx="0" ty="0" sx="100000" sy="100000" flip="none" algn="tl"/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[Q6. Charts.xlsx]Sheet3!PivotTable3</c:name>
    <c:fmtId val="4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layout>
            <c:manualLayout>
              <c:x val="0"/>
              <c:y val="-5.263159106497008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1750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layout>
            <c:manualLayout>
              <c:x val="0"/>
              <c:y val="-5.555556834635736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1750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layout>
            <c:manualLayout>
              <c:x val="7.246376811594203E-3"/>
              <c:y val="-7.0175454753293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1750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layout>
            <c:manualLayout>
              <c:x val="1.4492753623188406E-3"/>
              <c:y val="-7.894738659745512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1750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layout>
            <c:manualLayout>
              <c:x val="7.246376811594203E-3"/>
              <c:y val="-6.72514774719062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1750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layout>
            <c:manualLayout>
              <c:x val="2.8985507246376812E-3"/>
              <c:y val="-8.47953411602295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1750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layout>
            <c:manualLayout>
              <c:x val="2.8985507246375749E-3"/>
              <c:y val="-7.894738659745512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31750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layout>
            <c:manualLayout>
              <c:x val="0"/>
              <c:y val="-7.01754547532934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31750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layout>
            <c:manualLayout>
              <c:x val="-1.7391304347826139E-2"/>
              <c:y val="-0.1023392048485530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31750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layout>
            <c:manualLayout>
              <c:x val="-8.6956521739129898E-3"/>
              <c:y val="-8.77193184416168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31750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layout>
            <c:manualLayout>
              <c:x val="-7.2463768115942559E-3"/>
              <c:y val="-9.649125028577848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31750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layout>
            <c:manualLayout>
              <c:x val="-7.246376811594203E-3"/>
              <c:y val="-7.017545475329355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31750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layout>
            <c:manualLayout>
              <c:x val="-5.7971014492753624E-3"/>
              <c:y val="-7.30994320346807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1.4492753623187875E-3"/>
              <c:y val="3.50877273766467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31750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layout>
            <c:manualLayout>
              <c:x val="-1.5942028985507246E-2"/>
              <c:y val="-7.894738659745512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31750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layout>
            <c:manualLayout>
              <c:x val="-1.3043478260869592E-2"/>
              <c:y val="-8.47953411602296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31750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layout>
            <c:manualLayout>
              <c:x val="-8.6956521739130436E-3"/>
              <c:y val="-7.894738659745523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Revenue'000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D9B4-447F-9397-C34F81A8A6CA}"/>
              </c:ext>
            </c:extLst>
          </c:dPt>
          <c:dLbls>
            <c:dLbl>
              <c:idx val="5"/>
              <c:layout>
                <c:manualLayout>
                  <c:x val="1.4492753623187875E-3"/>
                  <c:y val="3.5087727376646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9B4-447F-9397-C34F81A8A6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Sheet3!$A$4:$A$21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Sheet3!$B$4:$B$21</c:f>
              <c:numCache>
                <c:formatCode>[$$-409]#,##0.00</c:formatCode>
                <c:ptCount val="18"/>
                <c:pt idx="0">
                  <c:v>528</c:v>
                </c:pt>
                <c:pt idx="1">
                  <c:v>4550</c:v>
                </c:pt>
                <c:pt idx="2">
                  <c:v>8189</c:v>
                </c:pt>
                <c:pt idx="3">
                  <c:v>1730</c:v>
                </c:pt>
                <c:pt idx="4">
                  <c:v>5262</c:v>
                </c:pt>
                <c:pt idx="5">
                  <c:v>2172</c:v>
                </c:pt>
                <c:pt idx="6">
                  <c:v>4384</c:v>
                </c:pt>
                <c:pt idx="7">
                  <c:v>8709</c:v>
                </c:pt>
                <c:pt idx="8">
                  <c:v>3618</c:v>
                </c:pt>
                <c:pt idx="9">
                  <c:v>6372</c:v>
                </c:pt>
                <c:pt idx="10">
                  <c:v>3456</c:v>
                </c:pt>
                <c:pt idx="11">
                  <c:v>7478</c:v>
                </c:pt>
                <c:pt idx="12">
                  <c:v>4649</c:v>
                </c:pt>
                <c:pt idx="13">
                  <c:v>5831</c:v>
                </c:pt>
                <c:pt idx="14">
                  <c:v>1599</c:v>
                </c:pt>
                <c:pt idx="15">
                  <c:v>3695</c:v>
                </c:pt>
                <c:pt idx="16">
                  <c:v>1678</c:v>
                </c:pt>
                <c:pt idx="17">
                  <c:v>3490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B4-447F-9397-C34F81A8A6C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7"/>
        <c:axId val="1579702639"/>
        <c:axId val="1579685167"/>
      </c:barChart>
      <c:lineChart>
        <c:grouping val="standard"/>
        <c:varyColors val="0"/>
        <c:ser>
          <c:idx val="1"/>
          <c:order val="1"/>
          <c:tx>
            <c:strRef>
              <c:f>Sheet3!$C$3</c:f>
              <c:strCache>
                <c:ptCount val="1"/>
                <c:pt idx="0">
                  <c:v>Sum of %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dPt>
            <c:idx val="1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317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D9B4-447F-9397-C34F81A8A6CA}"/>
              </c:ext>
            </c:extLst>
          </c:dPt>
          <c:dPt>
            <c:idx val="2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317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D9B4-447F-9397-C34F81A8A6CA}"/>
              </c:ext>
            </c:extLst>
          </c:dPt>
          <c:dPt>
            <c:idx val="3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317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D9B4-447F-9397-C34F81A8A6CA}"/>
              </c:ext>
            </c:extLst>
          </c:dPt>
          <c:dPt>
            <c:idx val="4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317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D9B4-447F-9397-C34F81A8A6CA}"/>
              </c:ext>
            </c:extLst>
          </c:dPt>
          <c:dPt>
            <c:idx val="5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317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D9B4-447F-9397-C34F81A8A6CA}"/>
              </c:ext>
            </c:extLst>
          </c:dPt>
          <c:dPt>
            <c:idx val="6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317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D9B4-447F-9397-C34F81A8A6CA}"/>
              </c:ext>
            </c:extLst>
          </c:dPt>
          <c:dPt>
            <c:idx val="7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317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D9B4-447F-9397-C34F81A8A6CA}"/>
              </c:ext>
            </c:extLst>
          </c:dPt>
          <c:dPt>
            <c:idx val="8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317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D9B4-447F-9397-C34F81A8A6CA}"/>
              </c:ext>
            </c:extLst>
          </c:dPt>
          <c:dPt>
            <c:idx val="9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317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D9B4-447F-9397-C34F81A8A6CA}"/>
              </c:ext>
            </c:extLst>
          </c:dPt>
          <c:dPt>
            <c:idx val="10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317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D9B4-447F-9397-C34F81A8A6CA}"/>
              </c:ext>
            </c:extLst>
          </c:dPt>
          <c:dPt>
            <c:idx val="11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317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D9B4-447F-9397-C34F81A8A6CA}"/>
              </c:ext>
            </c:extLst>
          </c:dPt>
          <c:dPt>
            <c:idx val="12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317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D9B4-447F-9397-C34F81A8A6CA}"/>
              </c:ext>
            </c:extLst>
          </c:dPt>
          <c:dPt>
            <c:idx val="13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317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D9B4-447F-9397-C34F81A8A6CA}"/>
              </c:ext>
            </c:extLst>
          </c:dPt>
          <c:dPt>
            <c:idx val="14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317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D9B4-447F-9397-C34F81A8A6CA}"/>
              </c:ext>
            </c:extLst>
          </c:dPt>
          <c:dPt>
            <c:idx val="15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317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D9B4-447F-9397-C34F81A8A6CA}"/>
              </c:ext>
            </c:extLst>
          </c:dPt>
          <c:dPt>
            <c:idx val="16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317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D9B4-447F-9397-C34F81A8A6CA}"/>
              </c:ext>
            </c:extLst>
          </c:dPt>
          <c:dLbls>
            <c:dLbl>
              <c:idx val="1"/>
              <c:layout>
                <c:manualLayout>
                  <c:x val="-8.6956521739130436E-3"/>
                  <c:y val="-7.89473865974552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D9B4-447F-9397-C34F81A8A6CA}"/>
                </c:ext>
              </c:extLst>
            </c:dLbl>
            <c:dLbl>
              <c:idx val="2"/>
              <c:layout>
                <c:manualLayout>
                  <c:x val="-1.3043478260869592E-2"/>
                  <c:y val="-8.47953411602296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D9B4-447F-9397-C34F81A8A6CA}"/>
                </c:ext>
              </c:extLst>
            </c:dLbl>
            <c:dLbl>
              <c:idx val="3"/>
              <c:layout>
                <c:manualLayout>
                  <c:x val="-1.5942028985507246E-2"/>
                  <c:y val="-7.89473865974551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9B4-447F-9397-C34F81A8A6CA}"/>
                </c:ext>
              </c:extLst>
            </c:dLbl>
            <c:dLbl>
              <c:idx val="4"/>
              <c:layout>
                <c:manualLayout>
                  <c:x val="-5.7971014492753624E-3"/>
                  <c:y val="-7.30994320346807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9B4-447F-9397-C34F81A8A6CA}"/>
                </c:ext>
              </c:extLst>
            </c:dLbl>
            <c:dLbl>
              <c:idx val="5"/>
              <c:layout>
                <c:manualLayout>
                  <c:x val="-7.246376811594203E-3"/>
                  <c:y val="-7.01754547532935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9B4-447F-9397-C34F81A8A6CA}"/>
                </c:ext>
              </c:extLst>
            </c:dLbl>
            <c:dLbl>
              <c:idx val="6"/>
              <c:layout>
                <c:manualLayout>
                  <c:x val="-7.2463768115942559E-3"/>
                  <c:y val="-9.64912502857784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9B4-447F-9397-C34F81A8A6CA}"/>
                </c:ext>
              </c:extLst>
            </c:dLbl>
            <c:dLbl>
              <c:idx val="7"/>
              <c:layout>
                <c:manualLayout>
                  <c:x val="-8.6956521739129898E-3"/>
                  <c:y val="-8.77193184416168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9B4-447F-9397-C34F81A8A6CA}"/>
                </c:ext>
              </c:extLst>
            </c:dLbl>
            <c:dLbl>
              <c:idx val="8"/>
              <c:layout>
                <c:manualLayout>
                  <c:x val="-1.7391304347826139E-2"/>
                  <c:y val="-0.1023392048485530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9B4-447F-9397-C34F81A8A6CA}"/>
                </c:ext>
              </c:extLst>
            </c:dLbl>
            <c:dLbl>
              <c:idx val="9"/>
              <c:layout>
                <c:manualLayout>
                  <c:x val="0"/>
                  <c:y val="-5.26315910649700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9B4-447F-9397-C34F81A8A6CA}"/>
                </c:ext>
              </c:extLst>
            </c:dLbl>
            <c:dLbl>
              <c:idx val="10"/>
              <c:layout>
                <c:manualLayout>
                  <c:x val="0"/>
                  <c:y val="-5.55555683463573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9B4-447F-9397-C34F81A8A6CA}"/>
                </c:ext>
              </c:extLst>
            </c:dLbl>
            <c:dLbl>
              <c:idx val="11"/>
              <c:layout>
                <c:manualLayout>
                  <c:x val="7.246376811594203E-3"/>
                  <c:y val="-7.0175454753293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9B4-447F-9397-C34F81A8A6CA}"/>
                </c:ext>
              </c:extLst>
            </c:dLbl>
            <c:dLbl>
              <c:idx val="12"/>
              <c:layout>
                <c:manualLayout>
                  <c:x val="1.4492753623188406E-3"/>
                  <c:y val="-7.89473865974551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9B4-447F-9397-C34F81A8A6CA}"/>
                </c:ext>
              </c:extLst>
            </c:dLbl>
            <c:dLbl>
              <c:idx val="13"/>
              <c:layout>
                <c:manualLayout>
                  <c:x val="7.246376811594203E-3"/>
                  <c:y val="-6.72514774719062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9B4-447F-9397-C34F81A8A6CA}"/>
                </c:ext>
              </c:extLst>
            </c:dLbl>
            <c:dLbl>
              <c:idx val="14"/>
              <c:layout>
                <c:manualLayout>
                  <c:x val="2.8985507246376812E-3"/>
                  <c:y val="-8.47953411602295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9B4-447F-9397-C34F81A8A6CA}"/>
                </c:ext>
              </c:extLst>
            </c:dLbl>
            <c:dLbl>
              <c:idx val="15"/>
              <c:layout>
                <c:manualLayout>
                  <c:x val="2.8985507246375749E-3"/>
                  <c:y val="-7.89473865974551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9B4-447F-9397-C34F81A8A6CA}"/>
                </c:ext>
              </c:extLst>
            </c:dLbl>
            <c:dLbl>
              <c:idx val="16"/>
              <c:layout>
                <c:manualLayout>
                  <c:x val="0"/>
                  <c:y val="-7.01754547532934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9B4-447F-9397-C34F81A8A6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Sheet3!$A$4:$A$21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Sheet3!$C$4:$C$21</c:f>
              <c:numCache>
                <c:formatCode>0.00%</c:formatCode>
                <c:ptCount val="18"/>
                <c:pt idx="1">
                  <c:v>6.5615712624370076E-2</c:v>
                </c:pt>
                <c:pt idx="2">
                  <c:v>0.17143041736658482</c:v>
                </c:pt>
                <c:pt idx="3">
                  <c:v>0.19378472670887711</c:v>
                </c:pt>
                <c:pt idx="4">
                  <c:v>0.26177800749450836</c:v>
                </c:pt>
                <c:pt idx="5">
                  <c:v>0.28984364905026488</c:v>
                </c:pt>
                <c:pt idx="6">
                  <c:v>0.34649179480553044</c:v>
                </c:pt>
                <c:pt idx="7">
                  <c:v>0.45902571391652669</c:v>
                </c:pt>
                <c:pt idx="8">
                  <c:v>0.50577594004393334</c:v>
                </c:pt>
                <c:pt idx="9">
                  <c:v>0.58811215919369431</c:v>
                </c:pt>
                <c:pt idx="10">
                  <c:v>0.6327690916139036</c:v>
                </c:pt>
                <c:pt idx="11">
                  <c:v>0.72939656286341903</c:v>
                </c:pt>
                <c:pt idx="12">
                  <c:v>0.78946892363354437</c:v>
                </c:pt>
                <c:pt idx="13">
                  <c:v>0.86481457552655383</c:v>
                </c:pt>
                <c:pt idx="14">
                  <c:v>0.88547615971055693</c:v>
                </c:pt>
                <c:pt idx="15">
                  <c:v>0.93322134642718702</c:v>
                </c:pt>
                <c:pt idx="16">
                  <c:v>0.95490373433260112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B4-447F-9397-C34F81A8A6C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79685999"/>
        <c:axId val="1579700143"/>
      </c:lineChart>
      <c:catAx>
        <c:axId val="157970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685167"/>
        <c:crosses val="autoZero"/>
        <c:auto val="1"/>
        <c:lblAlgn val="ctr"/>
        <c:lblOffset val="100"/>
        <c:noMultiLvlLbl val="0"/>
      </c:catAx>
      <c:valAx>
        <c:axId val="157968516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702639"/>
        <c:crosses val="autoZero"/>
        <c:crossBetween val="between"/>
      </c:valAx>
      <c:valAx>
        <c:axId val="1579700143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685999"/>
        <c:crosses val="max"/>
        <c:crossBetween val="between"/>
      </c:valAx>
      <c:catAx>
        <c:axId val="15796859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797001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6042268629464796"/>
          <c:y val="4.321500281231358E-2"/>
          <c:w val="0.27335741184525847"/>
          <c:h val="9.18264704670236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2">
        <a:lumMod val="60000"/>
        <a:lumOff val="40000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466725</xdr:colOff>
      <xdr:row>6</xdr:row>
      <xdr:rowOff>57150</xdr:rowOff>
    </xdr:from>
    <xdr:ext cx="4572000" cy="18097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171449</xdr:colOff>
      <xdr:row>3</xdr:row>
      <xdr:rowOff>61912</xdr:rowOff>
    </xdr:from>
    <xdr:to>
      <xdr:col>18</xdr:col>
      <xdr:colOff>590550</xdr:colOff>
      <xdr:row>17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DFAEFC-1114-4FB1-8869-318D3ED412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542925</xdr:colOff>
      <xdr:row>6</xdr:row>
      <xdr:rowOff>95250</xdr:rowOff>
    </xdr:from>
    <xdr:ext cx="3905250" cy="22574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76825" y="1181100"/>
          <a:ext cx="3905250" cy="225742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676275</xdr:colOff>
      <xdr:row>1</xdr:row>
      <xdr:rowOff>76200</xdr:rowOff>
    </xdr:from>
    <xdr:to>
      <xdr:col>14</xdr:col>
      <xdr:colOff>704850</xdr:colOff>
      <xdr:row>24</xdr:row>
      <xdr:rowOff>38099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D0241C-6085-4847-9E9D-FC783FD43D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470.899810532406" createdVersion="7" refreshedVersion="7" minRefreshableVersion="3" recordCount="15" xr:uid="{D651C8B0-85B1-4D78-8575-E99FF7D99DE5}">
  <cacheSource type="worksheet">
    <worksheetSource ref="C5:D20" sheet="Charts1"/>
  </cacheSource>
  <cacheFields count="2">
    <cacheField name="Date" numFmtId="0">
      <sharedItems containsSemiMixedTypes="0" containsString="0" containsNumber="1" containsInteger="1" minValue="1990" maxValue="2004" count="15"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</sharedItems>
    </cacheField>
    <cacheField name="Revenue'000" numFmtId="6">
      <sharedItems containsSemiMixedTypes="0" containsString="0" containsNumber="1" containsInteger="1" minValue="1963" maxValue="8418" count="15">
        <n v="2156"/>
        <n v="3562"/>
        <n v="7506"/>
        <n v="6258"/>
        <n v="6279"/>
        <n v="1963"/>
        <n v="6736"/>
        <n v="3280"/>
        <n v="8398"/>
        <n v="2882"/>
        <n v="4686"/>
        <n v="6976"/>
        <n v="2173"/>
        <n v="2166"/>
        <n v="841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470.908817592594" createdVersion="7" refreshedVersion="7" minRefreshableVersion="3" recordCount="18" xr:uid="{91BABE09-24B8-4AE2-A38A-E9323FD7584B}">
  <cacheSource type="worksheet">
    <worksheetSource ref="C5:F23" sheet="Charts2"/>
  </cacheSource>
  <cacheFields count="4">
    <cacheField name="Date" numFmtId="0">
      <sharedItems containsSemiMixedTypes="0" containsString="0" containsNumber="1" containsInteger="1" minValue="2005" maxValue="2022" count="18"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</sharedItems>
    </cacheField>
    <cacheField name="Revenue'000" numFmtId="164">
      <sharedItems containsSemiMixedTypes="0" containsString="0" containsNumber="1" containsInteger="1" minValue="528" maxValue="8709" count="18">
        <n v="528"/>
        <n v="4550"/>
        <n v="8189"/>
        <n v="1730"/>
        <n v="5262"/>
        <n v="2172"/>
        <n v="4384"/>
        <n v="8709"/>
        <n v="3618"/>
        <n v="6372"/>
        <n v="3456"/>
        <n v="7478"/>
        <n v="4649"/>
        <n v="5831"/>
        <n v="1599"/>
        <n v="3695"/>
        <n v="1678"/>
        <n v="3490"/>
      </sharedItems>
    </cacheField>
    <cacheField name="Running Total" numFmtId="0">
      <sharedItems containsString="0" containsBlank="1" containsNumber="1" containsInteger="1" minValue="5078" maxValue="77390"/>
    </cacheField>
    <cacheField name="%" numFmtId="0">
      <sharedItems containsString="0" containsBlank="1" containsNumber="1" minValue="6.5615712624370076E-2" maxValue="1" count="18">
        <m/>
        <n v="6.5615712624370076E-2"/>
        <n v="0.17143041736658482"/>
        <n v="0.19378472670887711"/>
        <n v="0.26177800749450836"/>
        <n v="0.28984364905026488"/>
        <n v="0.34649179480553044"/>
        <n v="0.45902571391652669"/>
        <n v="0.50577594004393334"/>
        <n v="0.58811215919369431"/>
        <n v="0.6327690916139036"/>
        <n v="0.72939656286341903"/>
        <n v="0.78946892363354437"/>
        <n v="0.86481457552655383"/>
        <n v="0.88547615971055693"/>
        <n v="0.93322134642718702"/>
        <n v="0.95490373433260112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  <r>
    <x v="14"/>
    <x v="1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x v="0"/>
    <m/>
    <x v="0"/>
  </r>
  <r>
    <x v="1"/>
    <x v="1"/>
    <n v="5078"/>
    <x v="1"/>
  </r>
  <r>
    <x v="2"/>
    <x v="2"/>
    <n v="13267"/>
    <x v="2"/>
  </r>
  <r>
    <x v="3"/>
    <x v="3"/>
    <n v="14997"/>
    <x v="3"/>
  </r>
  <r>
    <x v="4"/>
    <x v="4"/>
    <n v="20259"/>
    <x v="4"/>
  </r>
  <r>
    <x v="5"/>
    <x v="5"/>
    <n v="22431"/>
    <x v="5"/>
  </r>
  <r>
    <x v="6"/>
    <x v="6"/>
    <n v="26815"/>
    <x v="6"/>
  </r>
  <r>
    <x v="7"/>
    <x v="7"/>
    <n v="35524"/>
    <x v="7"/>
  </r>
  <r>
    <x v="8"/>
    <x v="8"/>
    <n v="39142"/>
    <x v="8"/>
  </r>
  <r>
    <x v="9"/>
    <x v="9"/>
    <n v="45514"/>
    <x v="9"/>
  </r>
  <r>
    <x v="10"/>
    <x v="10"/>
    <n v="48970"/>
    <x v="10"/>
  </r>
  <r>
    <x v="11"/>
    <x v="11"/>
    <n v="56448"/>
    <x v="11"/>
  </r>
  <r>
    <x v="12"/>
    <x v="12"/>
    <n v="61097"/>
    <x v="12"/>
  </r>
  <r>
    <x v="13"/>
    <x v="13"/>
    <n v="66928"/>
    <x v="13"/>
  </r>
  <r>
    <x v="14"/>
    <x v="14"/>
    <n v="68527"/>
    <x v="14"/>
  </r>
  <r>
    <x v="15"/>
    <x v="15"/>
    <n v="72222"/>
    <x v="15"/>
  </r>
  <r>
    <x v="16"/>
    <x v="16"/>
    <n v="73900"/>
    <x v="16"/>
  </r>
  <r>
    <x v="17"/>
    <x v="17"/>
    <n v="77390"/>
    <x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A1CDD1-D7F5-4C53-8831-03A929EB0316}" name="PivotTable2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26">
  <location ref="A3:B18" firstHeaderRow="1" firstDataRow="1" firstDataCol="1"/>
  <pivotFields count="2"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numFmtId="6" showAll="0">
      <items count="16">
        <item x="5"/>
        <item x="0"/>
        <item x="13"/>
        <item x="12"/>
        <item x="9"/>
        <item x="7"/>
        <item x="1"/>
        <item x="10"/>
        <item x="3"/>
        <item x="4"/>
        <item x="6"/>
        <item x="11"/>
        <item x="2"/>
        <item x="8"/>
        <item x="14"/>
        <item t="default"/>
      </items>
    </pivotField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Items count="1">
    <i/>
  </colItems>
  <dataFields count="1">
    <dataField name="Sum of Revenue'000" fld="1" baseField="0" baseItem="1" numFmtId="165"/>
  </dataFields>
  <chartFormats count="1"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4538AA-4190-487A-B95E-36A4899FA5C6}" name="PivotTable3" cacheId="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5">
  <location ref="A3:C21" firstHeaderRow="0" firstDataRow="1" firstDataCol="1"/>
  <pivotFields count="4"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dataField="1" numFmtId="164" showAll="0">
      <items count="19">
        <item x="0"/>
        <item x="14"/>
        <item x="16"/>
        <item x="3"/>
        <item x="5"/>
        <item x="10"/>
        <item x="17"/>
        <item x="8"/>
        <item x="15"/>
        <item x="6"/>
        <item x="1"/>
        <item x="12"/>
        <item x="4"/>
        <item x="13"/>
        <item x="9"/>
        <item x="11"/>
        <item x="2"/>
        <item x="7"/>
        <item t="default"/>
      </items>
    </pivotField>
    <pivotField showAll="0"/>
    <pivotField dataField="1" showAll="0">
      <items count="1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0"/>
        <item t="default"/>
      </items>
    </pivotField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-2"/>
  </colFields>
  <colItems count="2">
    <i>
      <x/>
    </i>
    <i i="1">
      <x v="1"/>
    </i>
  </colItems>
  <dataFields count="2">
    <dataField name="Sum of Revenue'000" fld="1" baseField="0" baseItem="0" numFmtId="166"/>
    <dataField name="Sum of %" fld="3" baseField="0" baseItem="0" numFmtId="10"/>
  </dataFields>
  <formats count="3">
    <format dxfId="2">
      <pivotArea collapsedLevelsAreSubtotals="1" fieldPosition="0">
        <references count="2">
          <reference field="4294967294" count="1" selected="0">
            <x v="1"/>
          </reference>
          <reference field="0" count="17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1">
      <pivotArea outline="0" fieldPosition="0">
        <references count="1">
          <reference field="4294967294" count="1">
            <x v="0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1"/>
          </reference>
          <reference field="0" count="1" selected="0">
            <x v="9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1"/>
          </reference>
          <reference field="0" count="1" selected="0">
            <x v="1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1"/>
          </reference>
          <reference field="0" count="1" selected="0">
            <x v="11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1"/>
          </reference>
          <reference field="0" count="1" selected="0">
            <x v="12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1"/>
          </reference>
          <reference field="0" count="1" selected="0">
            <x v="13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1"/>
          </reference>
          <reference field="0" count="1" selected="0">
            <x v="14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1"/>
          </reference>
          <reference field="0" count="1" selected="0">
            <x v="15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1"/>
          </reference>
          <reference field="0" count="1" selected="0">
            <x v="16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D1000"/>
  <sheetViews>
    <sheetView workbookViewId="0">
      <selection activeCell="C6" sqref="C6:D20"/>
    </sheetView>
  </sheetViews>
  <sheetFormatPr defaultColWidth="14.42578125" defaultRowHeight="15" customHeight="1" x14ac:dyDescent="0.25"/>
  <cols>
    <col min="1" max="3" width="8.7109375" customWidth="1"/>
    <col min="4" max="4" width="11.7109375" customWidth="1"/>
    <col min="5" max="26" width="8.7109375" customWidth="1"/>
  </cols>
  <sheetData>
    <row r="1" spans="3:4" ht="14.25" customHeight="1" x14ac:dyDescent="0.25"/>
    <row r="2" spans="3:4" ht="14.25" customHeight="1" x14ac:dyDescent="0.25">
      <c r="C2" s="1" t="s">
        <v>0</v>
      </c>
    </row>
    <row r="3" spans="3:4" ht="14.25" customHeight="1" x14ac:dyDescent="0.25">
      <c r="C3" s="1" t="s">
        <v>1</v>
      </c>
    </row>
    <row r="4" spans="3:4" ht="14.25" customHeight="1" x14ac:dyDescent="0.25"/>
    <row r="5" spans="3:4" ht="14.25" customHeight="1" x14ac:dyDescent="0.25">
      <c r="C5" s="2" t="s">
        <v>2</v>
      </c>
      <c r="D5" s="2" t="s">
        <v>3</v>
      </c>
    </row>
    <row r="6" spans="3:4" ht="14.25" customHeight="1" x14ac:dyDescent="0.25">
      <c r="C6" s="3">
        <v>1990</v>
      </c>
      <c r="D6" s="4">
        <v>2156</v>
      </c>
    </row>
    <row r="7" spans="3:4" ht="14.25" customHeight="1" x14ac:dyDescent="0.25">
      <c r="C7" s="3">
        <v>1991</v>
      </c>
      <c r="D7" s="4">
        <v>3562</v>
      </c>
    </row>
    <row r="8" spans="3:4" ht="14.25" customHeight="1" x14ac:dyDescent="0.25">
      <c r="C8" s="3">
        <v>1992</v>
      </c>
      <c r="D8" s="4">
        <v>7506</v>
      </c>
    </row>
    <row r="9" spans="3:4" ht="14.25" customHeight="1" x14ac:dyDescent="0.25">
      <c r="C9" s="3">
        <v>1993</v>
      </c>
      <c r="D9" s="4">
        <v>6258</v>
      </c>
    </row>
    <row r="10" spans="3:4" ht="14.25" customHeight="1" x14ac:dyDescent="0.25">
      <c r="C10" s="3">
        <v>1994</v>
      </c>
      <c r="D10" s="4">
        <v>6279</v>
      </c>
    </row>
    <row r="11" spans="3:4" ht="14.25" customHeight="1" x14ac:dyDescent="0.25">
      <c r="C11" s="3">
        <v>1995</v>
      </c>
      <c r="D11" s="4">
        <v>1963</v>
      </c>
    </row>
    <row r="12" spans="3:4" ht="14.25" customHeight="1" x14ac:dyDescent="0.25">
      <c r="C12" s="3">
        <v>1996</v>
      </c>
      <c r="D12" s="4">
        <v>6736</v>
      </c>
    </row>
    <row r="13" spans="3:4" ht="14.25" customHeight="1" x14ac:dyDescent="0.25">
      <c r="C13" s="3">
        <v>1997</v>
      </c>
      <c r="D13" s="4">
        <v>3280</v>
      </c>
    </row>
    <row r="14" spans="3:4" ht="14.25" customHeight="1" x14ac:dyDescent="0.25">
      <c r="C14" s="3">
        <v>1998</v>
      </c>
      <c r="D14" s="4">
        <v>8398</v>
      </c>
    </row>
    <row r="15" spans="3:4" ht="14.25" customHeight="1" x14ac:dyDescent="0.25">
      <c r="C15" s="3">
        <v>1999</v>
      </c>
      <c r="D15" s="4">
        <v>2882</v>
      </c>
    </row>
    <row r="16" spans="3:4" ht="14.25" customHeight="1" x14ac:dyDescent="0.25">
      <c r="C16" s="3">
        <v>2000</v>
      </c>
      <c r="D16" s="4">
        <v>4686</v>
      </c>
    </row>
    <row r="17" spans="3:4" ht="14.25" customHeight="1" x14ac:dyDescent="0.25">
      <c r="C17" s="3">
        <v>2001</v>
      </c>
      <c r="D17" s="4">
        <v>6976</v>
      </c>
    </row>
    <row r="18" spans="3:4" ht="14.25" customHeight="1" x14ac:dyDescent="0.25">
      <c r="C18" s="3">
        <v>2002</v>
      </c>
      <c r="D18" s="4">
        <v>2173</v>
      </c>
    </row>
    <row r="19" spans="3:4" ht="14.25" customHeight="1" x14ac:dyDescent="0.25">
      <c r="C19" s="3">
        <v>2003</v>
      </c>
      <c r="D19" s="4">
        <v>2166</v>
      </c>
    </row>
    <row r="20" spans="3:4" ht="14.25" customHeight="1" x14ac:dyDescent="0.25">
      <c r="C20" s="5">
        <v>2004</v>
      </c>
      <c r="D20" s="6">
        <v>8418</v>
      </c>
    </row>
    <row r="21" spans="3:4" ht="14.25" customHeight="1" x14ac:dyDescent="0.25"/>
    <row r="22" spans="3:4" ht="14.25" customHeight="1" x14ac:dyDescent="0.25"/>
    <row r="23" spans="3:4" ht="14.25" customHeight="1" x14ac:dyDescent="0.25"/>
    <row r="24" spans="3:4" ht="14.25" customHeight="1" x14ac:dyDescent="0.25"/>
    <row r="25" spans="3:4" ht="14.25" customHeight="1" x14ac:dyDescent="0.25"/>
    <row r="26" spans="3:4" ht="14.25" customHeight="1" x14ac:dyDescent="0.25"/>
    <row r="27" spans="3:4" ht="14.25" customHeight="1" x14ac:dyDescent="0.25"/>
    <row r="28" spans="3:4" ht="14.25" customHeight="1" x14ac:dyDescent="0.25"/>
    <row r="29" spans="3:4" ht="14.25" customHeight="1" x14ac:dyDescent="0.25"/>
    <row r="30" spans="3:4" ht="14.25" customHeight="1" x14ac:dyDescent="0.25"/>
    <row r="31" spans="3:4" ht="14.25" customHeight="1" x14ac:dyDescent="0.25"/>
    <row r="32" spans="3: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C2F9-BB8C-4280-B7DA-55C7D495C5C8}">
  <dimension ref="A3:B18"/>
  <sheetViews>
    <sheetView tabSelected="1" workbookViewId="0">
      <selection activeCell="U13" sqref="U13"/>
    </sheetView>
  </sheetViews>
  <sheetFormatPr defaultRowHeight="15" x14ac:dyDescent="0.25"/>
  <cols>
    <col min="1" max="1" width="13.140625" bestFit="1" customWidth="1"/>
    <col min="2" max="2" width="19.28515625" bestFit="1" customWidth="1"/>
    <col min="3" max="16" width="5" bestFit="1" customWidth="1"/>
    <col min="17" max="17" width="11.28515625" bestFit="1" customWidth="1"/>
  </cols>
  <sheetData>
    <row r="3" spans="1:2" x14ac:dyDescent="0.25">
      <c r="A3" s="17" t="s">
        <v>9</v>
      </c>
      <c r="B3" t="s">
        <v>8</v>
      </c>
    </row>
    <row r="4" spans="1:2" x14ac:dyDescent="0.25">
      <c r="A4" s="18">
        <v>1990</v>
      </c>
      <c r="B4" s="19">
        <v>2156</v>
      </c>
    </row>
    <row r="5" spans="1:2" x14ac:dyDescent="0.25">
      <c r="A5" s="18">
        <v>1991</v>
      </c>
      <c r="B5" s="19">
        <v>3562</v>
      </c>
    </row>
    <row r="6" spans="1:2" x14ac:dyDescent="0.25">
      <c r="A6" s="18">
        <v>1992</v>
      </c>
      <c r="B6" s="19">
        <v>7506</v>
      </c>
    </row>
    <row r="7" spans="1:2" x14ac:dyDescent="0.25">
      <c r="A7" s="18">
        <v>1993</v>
      </c>
      <c r="B7" s="19">
        <v>6258</v>
      </c>
    </row>
    <row r="8" spans="1:2" x14ac:dyDescent="0.25">
      <c r="A8" s="18">
        <v>1994</v>
      </c>
      <c r="B8" s="19">
        <v>6279</v>
      </c>
    </row>
    <row r="9" spans="1:2" x14ac:dyDescent="0.25">
      <c r="A9" s="18">
        <v>1995</v>
      </c>
      <c r="B9" s="19">
        <v>1963</v>
      </c>
    </row>
    <row r="10" spans="1:2" x14ac:dyDescent="0.25">
      <c r="A10" s="18">
        <v>1996</v>
      </c>
      <c r="B10" s="19">
        <v>6736</v>
      </c>
    </row>
    <row r="11" spans="1:2" x14ac:dyDescent="0.25">
      <c r="A11" s="18">
        <v>1997</v>
      </c>
      <c r="B11" s="19">
        <v>3280</v>
      </c>
    </row>
    <row r="12" spans="1:2" x14ac:dyDescent="0.25">
      <c r="A12" s="18">
        <v>1998</v>
      </c>
      <c r="B12" s="19">
        <v>8398</v>
      </c>
    </row>
    <row r="13" spans="1:2" x14ac:dyDescent="0.25">
      <c r="A13" s="18">
        <v>1999</v>
      </c>
      <c r="B13" s="19">
        <v>2882</v>
      </c>
    </row>
    <row r="14" spans="1:2" x14ac:dyDescent="0.25">
      <c r="A14" s="18">
        <v>2000</v>
      </c>
      <c r="B14" s="19">
        <v>4686</v>
      </c>
    </row>
    <row r="15" spans="1:2" x14ac:dyDescent="0.25">
      <c r="A15" s="18">
        <v>2001</v>
      </c>
      <c r="B15" s="19">
        <v>6976</v>
      </c>
    </row>
    <row r="16" spans="1:2" x14ac:dyDescent="0.25">
      <c r="A16" s="18">
        <v>2002</v>
      </c>
      <c r="B16" s="19">
        <v>2173</v>
      </c>
    </row>
    <row r="17" spans="1:2" x14ac:dyDescent="0.25">
      <c r="A17" s="18">
        <v>2003</v>
      </c>
      <c r="B17" s="19">
        <v>2166</v>
      </c>
    </row>
    <row r="18" spans="1:2" x14ac:dyDescent="0.25">
      <c r="A18" s="18">
        <v>2004</v>
      </c>
      <c r="B18" s="19">
        <v>8418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F1000"/>
  <sheetViews>
    <sheetView workbookViewId="0">
      <selection activeCell="N22" sqref="N22"/>
    </sheetView>
  </sheetViews>
  <sheetFormatPr defaultColWidth="14.42578125" defaultRowHeight="15" customHeight="1" x14ac:dyDescent="0.25"/>
  <cols>
    <col min="1" max="3" width="8.7109375" customWidth="1"/>
    <col min="4" max="4" width="11.7109375" customWidth="1"/>
    <col min="5" max="5" width="12.7109375" customWidth="1"/>
    <col min="6" max="26" width="8.7109375" customWidth="1"/>
  </cols>
  <sheetData>
    <row r="1" spans="3:6" ht="14.25" customHeight="1" x14ac:dyDescent="0.25"/>
    <row r="2" spans="3:6" ht="14.25" customHeight="1" x14ac:dyDescent="0.25">
      <c r="C2" s="1" t="s">
        <v>4</v>
      </c>
    </row>
    <row r="3" spans="3:6" ht="14.25" customHeight="1" x14ac:dyDescent="0.25">
      <c r="C3" s="1" t="s">
        <v>1</v>
      </c>
    </row>
    <row r="4" spans="3:6" ht="14.25" customHeight="1" x14ac:dyDescent="0.25"/>
    <row r="5" spans="3:6" ht="14.25" customHeight="1" x14ac:dyDescent="0.25">
      <c r="C5" s="7" t="s">
        <v>2</v>
      </c>
      <c r="D5" s="8" t="s">
        <v>3</v>
      </c>
      <c r="E5" s="8" t="s">
        <v>5</v>
      </c>
      <c r="F5" s="9" t="s">
        <v>6</v>
      </c>
    </row>
    <row r="6" spans="3:6" ht="14.25" customHeight="1" x14ac:dyDescent="0.25">
      <c r="C6" s="3">
        <v>2005</v>
      </c>
      <c r="D6" s="10">
        <v>528</v>
      </c>
      <c r="E6" s="11"/>
      <c r="F6" s="12"/>
    </row>
    <row r="7" spans="3:6" ht="14.25" customHeight="1" x14ac:dyDescent="0.25">
      <c r="C7" s="3">
        <v>2006</v>
      </c>
      <c r="D7" s="10">
        <v>4550</v>
      </c>
      <c r="E7" s="13">
        <f t="shared" ref="E7:E23" si="0">SUM($D$6:D7)</f>
        <v>5078</v>
      </c>
      <c r="F7" s="11">
        <f t="shared" ref="F7:F23" si="1">E7/$E$23</f>
        <v>6.5615712624370076E-2</v>
      </c>
    </row>
    <row r="8" spans="3:6" ht="14.25" customHeight="1" x14ac:dyDescent="0.25">
      <c r="C8" s="3">
        <v>2007</v>
      </c>
      <c r="D8" s="10">
        <v>8189</v>
      </c>
      <c r="E8" s="13">
        <f t="shared" si="0"/>
        <v>13267</v>
      </c>
      <c r="F8" s="11">
        <f t="shared" si="1"/>
        <v>0.17143041736658482</v>
      </c>
    </row>
    <row r="9" spans="3:6" ht="14.25" customHeight="1" x14ac:dyDescent="0.25">
      <c r="C9" s="3">
        <v>2008</v>
      </c>
      <c r="D9" s="10">
        <v>1730</v>
      </c>
      <c r="E9" s="13">
        <f t="shared" si="0"/>
        <v>14997</v>
      </c>
      <c r="F9" s="11">
        <f t="shared" si="1"/>
        <v>0.19378472670887711</v>
      </c>
    </row>
    <row r="10" spans="3:6" ht="14.25" customHeight="1" x14ac:dyDescent="0.25">
      <c r="C10" s="3">
        <v>2009</v>
      </c>
      <c r="D10" s="10">
        <v>5262</v>
      </c>
      <c r="E10" s="13">
        <f t="shared" si="0"/>
        <v>20259</v>
      </c>
      <c r="F10" s="11">
        <f t="shared" si="1"/>
        <v>0.26177800749450836</v>
      </c>
    </row>
    <row r="11" spans="3:6" ht="14.25" customHeight="1" x14ac:dyDescent="0.25">
      <c r="C11" s="3">
        <v>2010</v>
      </c>
      <c r="D11" s="10">
        <v>2172</v>
      </c>
      <c r="E11" s="13">
        <f t="shared" si="0"/>
        <v>22431</v>
      </c>
      <c r="F11" s="11">
        <f t="shared" si="1"/>
        <v>0.28984364905026488</v>
      </c>
    </row>
    <row r="12" spans="3:6" ht="14.25" customHeight="1" x14ac:dyDescent="0.25">
      <c r="C12" s="3">
        <v>2011</v>
      </c>
      <c r="D12" s="10">
        <v>4384</v>
      </c>
      <c r="E12" s="13">
        <f t="shared" si="0"/>
        <v>26815</v>
      </c>
      <c r="F12" s="11">
        <f t="shared" si="1"/>
        <v>0.34649179480553044</v>
      </c>
    </row>
    <row r="13" spans="3:6" ht="14.25" customHeight="1" x14ac:dyDescent="0.25">
      <c r="C13" s="3">
        <v>2012</v>
      </c>
      <c r="D13" s="10">
        <v>8709</v>
      </c>
      <c r="E13" s="13">
        <f t="shared" si="0"/>
        <v>35524</v>
      </c>
      <c r="F13" s="11">
        <f t="shared" si="1"/>
        <v>0.45902571391652669</v>
      </c>
    </row>
    <row r="14" spans="3:6" ht="14.25" customHeight="1" x14ac:dyDescent="0.25">
      <c r="C14" s="3">
        <v>2013</v>
      </c>
      <c r="D14" s="10">
        <v>3618</v>
      </c>
      <c r="E14" s="13">
        <f t="shared" si="0"/>
        <v>39142</v>
      </c>
      <c r="F14" s="11">
        <f t="shared" si="1"/>
        <v>0.50577594004393334</v>
      </c>
    </row>
    <row r="15" spans="3:6" ht="14.25" customHeight="1" x14ac:dyDescent="0.25">
      <c r="C15" s="3">
        <v>2014</v>
      </c>
      <c r="D15" s="10">
        <v>6372</v>
      </c>
      <c r="E15" s="13">
        <f t="shared" si="0"/>
        <v>45514</v>
      </c>
      <c r="F15" s="11">
        <f t="shared" si="1"/>
        <v>0.58811215919369431</v>
      </c>
    </row>
    <row r="16" spans="3:6" ht="14.25" customHeight="1" x14ac:dyDescent="0.25">
      <c r="C16" s="3">
        <v>2015</v>
      </c>
      <c r="D16" s="10">
        <v>3456</v>
      </c>
      <c r="E16" s="13">
        <f t="shared" si="0"/>
        <v>48970</v>
      </c>
      <c r="F16" s="11">
        <f t="shared" si="1"/>
        <v>0.6327690916139036</v>
      </c>
    </row>
    <row r="17" spans="3:6" ht="14.25" customHeight="1" x14ac:dyDescent="0.25">
      <c r="C17" s="3">
        <v>2016</v>
      </c>
      <c r="D17" s="10">
        <v>7478</v>
      </c>
      <c r="E17" s="13">
        <f t="shared" si="0"/>
        <v>56448</v>
      </c>
      <c r="F17" s="11">
        <f t="shared" si="1"/>
        <v>0.72939656286341903</v>
      </c>
    </row>
    <row r="18" spans="3:6" ht="14.25" customHeight="1" x14ac:dyDescent="0.25">
      <c r="C18" s="3">
        <v>2017</v>
      </c>
      <c r="D18" s="10">
        <v>4649</v>
      </c>
      <c r="E18" s="13">
        <f t="shared" si="0"/>
        <v>61097</v>
      </c>
      <c r="F18" s="11">
        <f t="shared" si="1"/>
        <v>0.78946892363354437</v>
      </c>
    </row>
    <row r="19" spans="3:6" ht="14.25" customHeight="1" x14ac:dyDescent="0.25">
      <c r="C19" s="3">
        <v>2018</v>
      </c>
      <c r="D19" s="10">
        <v>5831</v>
      </c>
      <c r="E19" s="13">
        <f t="shared" si="0"/>
        <v>66928</v>
      </c>
      <c r="F19" s="11">
        <f t="shared" si="1"/>
        <v>0.86481457552655383</v>
      </c>
    </row>
    <row r="20" spans="3:6" ht="14.25" customHeight="1" x14ac:dyDescent="0.25">
      <c r="C20" s="3">
        <v>2019</v>
      </c>
      <c r="D20" s="10">
        <v>1599</v>
      </c>
      <c r="E20" s="13">
        <f t="shared" si="0"/>
        <v>68527</v>
      </c>
      <c r="F20" s="11">
        <f t="shared" si="1"/>
        <v>0.88547615971055693</v>
      </c>
    </row>
    <row r="21" spans="3:6" ht="14.25" customHeight="1" x14ac:dyDescent="0.25">
      <c r="C21" s="3">
        <v>2020</v>
      </c>
      <c r="D21" s="10">
        <v>3695</v>
      </c>
      <c r="E21" s="13">
        <f t="shared" si="0"/>
        <v>72222</v>
      </c>
      <c r="F21" s="11">
        <f t="shared" si="1"/>
        <v>0.93322134642718702</v>
      </c>
    </row>
    <row r="22" spans="3:6" ht="14.25" customHeight="1" x14ac:dyDescent="0.25">
      <c r="C22" s="3">
        <v>2021</v>
      </c>
      <c r="D22" s="10">
        <v>1678</v>
      </c>
      <c r="E22" s="13">
        <f t="shared" si="0"/>
        <v>73900</v>
      </c>
      <c r="F22" s="11">
        <f t="shared" si="1"/>
        <v>0.95490373433260112</v>
      </c>
    </row>
    <row r="23" spans="3:6" ht="14.25" customHeight="1" x14ac:dyDescent="0.25">
      <c r="C23" s="5">
        <v>2022</v>
      </c>
      <c r="D23" s="14">
        <v>3490</v>
      </c>
      <c r="E23" s="13">
        <f t="shared" si="0"/>
        <v>77390</v>
      </c>
      <c r="F23" s="11">
        <f t="shared" si="1"/>
        <v>1</v>
      </c>
    </row>
    <row r="24" spans="3:6" ht="14.25" customHeight="1" x14ac:dyDescent="0.25"/>
    <row r="25" spans="3:6" ht="14.25" customHeight="1" x14ac:dyDescent="0.25">
      <c r="C25" s="15" t="s">
        <v>7</v>
      </c>
      <c r="D25" s="16">
        <f>SUM(D6:D23)</f>
        <v>77390</v>
      </c>
    </row>
    <row r="26" spans="3:6" ht="14.25" customHeight="1" x14ac:dyDescent="0.25"/>
    <row r="27" spans="3:6" ht="14.25" customHeight="1" x14ac:dyDescent="0.25"/>
    <row r="28" spans="3:6" ht="14.25" customHeight="1" x14ac:dyDescent="0.25"/>
    <row r="29" spans="3:6" ht="14.25" customHeight="1" x14ac:dyDescent="0.25"/>
    <row r="30" spans="3:6" ht="14.25" customHeight="1" x14ac:dyDescent="0.25"/>
    <row r="31" spans="3:6" ht="14.25" customHeight="1" x14ac:dyDescent="0.25"/>
    <row r="32" spans="3:6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AB9CC-4D90-44A6-A230-61D13B1472E7}">
  <dimension ref="A3:C21"/>
  <sheetViews>
    <sheetView workbookViewId="0">
      <selection activeCell="D20" sqref="D20"/>
    </sheetView>
  </sheetViews>
  <sheetFormatPr defaultRowHeight="15" x14ac:dyDescent="0.25"/>
  <cols>
    <col min="1" max="1" width="13.140625" bestFit="1" customWidth="1"/>
    <col min="2" max="2" width="19.28515625" bestFit="1" customWidth="1"/>
    <col min="3" max="3" width="9.140625" bestFit="1" customWidth="1"/>
    <col min="4" max="8" width="12" bestFit="1" customWidth="1"/>
    <col min="9" max="9" width="11" bestFit="1" customWidth="1"/>
    <col min="10" max="14" width="12" bestFit="1" customWidth="1"/>
    <col min="15" max="15" width="11" bestFit="1" customWidth="1"/>
    <col min="16" max="17" width="12" bestFit="1" customWidth="1"/>
    <col min="18" max="18" width="5" bestFit="1" customWidth="1"/>
    <col min="19" max="19" width="7.28515625" bestFit="1" customWidth="1"/>
    <col min="20" max="20" width="11.28515625" bestFit="1" customWidth="1"/>
  </cols>
  <sheetData>
    <row r="3" spans="1:3" x14ac:dyDescent="0.25">
      <c r="A3" s="17" t="s">
        <v>9</v>
      </c>
      <c r="B3" t="s">
        <v>8</v>
      </c>
      <c r="C3" t="s">
        <v>10</v>
      </c>
    </row>
    <row r="4" spans="1:3" x14ac:dyDescent="0.25">
      <c r="A4" s="18">
        <v>2005</v>
      </c>
      <c r="B4" s="20">
        <v>528</v>
      </c>
      <c r="C4" s="21"/>
    </row>
    <row r="5" spans="1:3" x14ac:dyDescent="0.25">
      <c r="A5" s="18">
        <v>2006</v>
      </c>
      <c r="B5" s="20">
        <v>4550</v>
      </c>
      <c r="C5" s="21">
        <v>6.5615712624370076E-2</v>
      </c>
    </row>
    <row r="6" spans="1:3" x14ac:dyDescent="0.25">
      <c r="A6" s="18">
        <v>2007</v>
      </c>
      <c r="B6" s="20">
        <v>8189</v>
      </c>
      <c r="C6" s="21">
        <v>0.17143041736658482</v>
      </c>
    </row>
    <row r="7" spans="1:3" x14ac:dyDescent="0.25">
      <c r="A7" s="18">
        <v>2008</v>
      </c>
      <c r="B7" s="20">
        <v>1730</v>
      </c>
      <c r="C7" s="21">
        <v>0.19378472670887711</v>
      </c>
    </row>
    <row r="8" spans="1:3" x14ac:dyDescent="0.25">
      <c r="A8" s="18">
        <v>2009</v>
      </c>
      <c r="B8" s="20">
        <v>5262</v>
      </c>
      <c r="C8" s="21">
        <v>0.26177800749450836</v>
      </c>
    </row>
    <row r="9" spans="1:3" x14ac:dyDescent="0.25">
      <c r="A9" s="18">
        <v>2010</v>
      </c>
      <c r="B9" s="20">
        <v>2172</v>
      </c>
      <c r="C9" s="21">
        <v>0.28984364905026488</v>
      </c>
    </row>
    <row r="10" spans="1:3" x14ac:dyDescent="0.25">
      <c r="A10" s="18">
        <v>2011</v>
      </c>
      <c r="B10" s="20">
        <v>4384</v>
      </c>
      <c r="C10" s="21">
        <v>0.34649179480553044</v>
      </c>
    </row>
    <row r="11" spans="1:3" x14ac:dyDescent="0.25">
      <c r="A11" s="18">
        <v>2012</v>
      </c>
      <c r="B11" s="20">
        <v>8709</v>
      </c>
      <c r="C11" s="21">
        <v>0.45902571391652669</v>
      </c>
    </row>
    <row r="12" spans="1:3" x14ac:dyDescent="0.25">
      <c r="A12" s="18">
        <v>2013</v>
      </c>
      <c r="B12" s="20">
        <v>3618</v>
      </c>
      <c r="C12" s="21">
        <v>0.50577594004393334</v>
      </c>
    </row>
    <row r="13" spans="1:3" x14ac:dyDescent="0.25">
      <c r="A13" s="18">
        <v>2014</v>
      </c>
      <c r="B13" s="20">
        <v>6372</v>
      </c>
      <c r="C13" s="21">
        <v>0.58811215919369431</v>
      </c>
    </row>
    <row r="14" spans="1:3" x14ac:dyDescent="0.25">
      <c r="A14" s="18">
        <v>2015</v>
      </c>
      <c r="B14" s="20">
        <v>3456</v>
      </c>
      <c r="C14" s="21">
        <v>0.6327690916139036</v>
      </c>
    </row>
    <row r="15" spans="1:3" x14ac:dyDescent="0.25">
      <c r="A15" s="18">
        <v>2016</v>
      </c>
      <c r="B15" s="20">
        <v>7478</v>
      </c>
      <c r="C15" s="21">
        <v>0.72939656286341903</v>
      </c>
    </row>
    <row r="16" spans="1:3" x14ac:dyDescent="0.25">
      <c r="A16" s="18">
        <v>2017</v>
      </c>
      <c r="B16" s="20">
        <v>4649</v>
      </c>
      <c r="C16" s="21">
        <v>0.78946892363354437</v>
      </c>
    </row>
    <row r="17" spans="1:3" x14ac:dyDescent="0.25">
      <c r="A17" s="18">
        <v>2018</v>
      </c>
      <c r="B17" s="20">
        <v>5831</v>
      </c>
      <c r="C17" s="21">
        <v>0.86481457552655383</v>
      </c>
    </row>
    <row r="18" spans="1:3" x14ac:dyDescent="0.25">
      <c r="A18" s="18">
        <v>2019</v>
      </c>
      <c r="B18" s="20">
        <v>1599</v>
      </c>
      <c r="C18" s="21">
        <v>0.88547615971055693</v>
      </c>
    </row>
    <row r="19" spans="1:3" x14ac:dyDescent="0.25">
      <c r="A19" s="18">
        <v>2020</v>
      </c>
      <c r="B19" s="20">
        <v>3695</v>
      </c>
      <c r="C19" s="21">
        <v>0.93322134642718702</v>
      </c>
    </row>
    <row r="20" spans="1:3" x14ac:dyDescent="0.25">
      <c r="A20" s="18">
        <v>2021</v>
      </c>
      <c r="B20" s="20">
        <v>1678</v>
      </c>
      <c r="C20" s="21">
        <v>0.95490373433260112</v>
      </c>
    </row>
    <row r="21" spans="1:3" x14ac:dyDescent="0.25">
      <c r="A21" s="18">
        <v>2022</v>
      </c>
      <c r="B21" s="20">
        <v>3490</v>
      </c>
      <c r="C21" s="21">
        <v>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Charts1</vt:lpstr>
      <vt:lpstr>Sheet2</vt:lpstr>
      <vt:lpstr>Charts2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Swapnil Karle</cp:lastModifiedBy>
  <dcterms:created xsi:type="dcterms:W3CDTF">2022-07-29T06:27:39Z</dcterms:created>
  <dcterms:modified xsi:type="dcterms:W3CDTF">2024-07-18T08:48:18Z</dcterms:modified>
</cp:coreProperties>
</file>